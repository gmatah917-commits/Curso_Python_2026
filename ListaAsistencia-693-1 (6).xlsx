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gloriamatahernandez/Library/CloudStorage/Dropbox/0_CLASES/0_IV_2026-2/"/>
    </mc:Choice>
  </mc:AlternateContent>
  <xr:revisionPtr revIDLastSave="0" documentId="13_ncr:1_{D10C90BB-7DE6-744D-B03A-31A97D99C8CB}" xr6:coauthVersionLast="47" xr6:coauthVersionMax="47" xr10:uidLastSave="{00000000-0000-0000-0000-000000000000}"/>
  <bookViews>
    <workbookView xWindow="51200" yWindow="1820" windowWidth="40960" windowHeight="19620" activeTab="1" xr2:uid="{00000000-000D-0000-FFFF-FFFF00000000}"/>
  </bookViews>
  <sheets>
    <sheet name="693-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2" l="1"/>
  <c r="S5" i="2" s="1"/>
  <c r="I5" i="2"/>
  <c r="H5" i="2"/>
  <c r="L4" i="2"/>
  <c r="K4" i="2"/>
  <c r="M3" i="2"/>
  <c r="L3" i="2"/>
  <c r="J3" i="2"/>
  <c r="H3" i="2"/>
  <c r="R3" i="2"/>
  <c r="S3" i="2" s="1"/>
  <c r="R4" i="2"/>
  <c r="S4" i="2" s="1"/>
</calcChain>
</file>

<file path=xl/sharedStrings.xml><?xml version="1.0" encoding="utf-8"?>
<sst xmlns="http://schemas.openxmlformats.org/spreadsheetml/2006/main" count="107" uniqueCount="81">
  <si>
    <t>UNIVERSIDAD NACIONAL AUTÓNOMA DE MÉXICO</t>
  </si>
  <si>
    <t>FACULTAD DE INGENIERÍA</t>
  </si>
  <si>
    <t>SECRETARÍA DE SERVICIOS ACADÉMICOS</t>
  </si>
  <si>
    <t>UNIDAD DE SERVICIOS DE CÓMPUTO ADMINISTRATIVO</t>
  </si>
  <si>
    <t>LISTA DE ASISTENCIA 2026-2</t>
  </si>
  <si>
    <t>Generado el 03/02/26, 11:29 hrs por MAHG560805HA5</t>
  </si>
  <si>
    <t>Asignatura:</t>
  </si>
  <si>
    <t>693 - INSTRUMENTACION VIRTUAL(PRESENCIAL)</t>
  </si>
  <si>
    <t>Grupo:</t>
  </si>
  <si>
    <t>1</t>
  </si>
  <si>
    <t>Profesor:</t>
  </si>
  <si>
    <t>M.I. GLORIA MATA HERNANDEZ</t>
  </si>
  <si>
    <t>INICIO</t>
  </si>
  <si>
    <t>FIN</t>
  </si>
  <si>
    <t>DÍAS</t>
  </si>
  <si>
    <t>SALÓN</t>
  </si>
  <si>
    <t>No. Prof:</t>
  </si>
  <si>
    <t>Tipo:</t>
  </si>
  <si>
    <t>T</t>
  </si>
  <si>
    <t>11:30</t>
  </si>
  <si>
    <t>13:00</t>
  </si>
  <si>
    <t>Lun,Mie</t>
  </si>
  <si>
    <t>P217</t>
  </si>
  <si>
    <t>FOTOGRAFÍA</t>
  </si>
  <si>
    <t>NO.</t>
  </si>
  <si>
    <t>CUENTA</t>
  </si>
  <si>
    <t>NOMBRE</t>
  </si>
  <si>
    <t>CARRERA</t>
  </si>
  <si>
    <t>CORREO ELECTRÓNICO</t>
  </si>
  <si>
    <t>319225228</t>
  </si>
  <si>
    <t>COLIN CRUZ LUIS RAMON</t>
  </si>
  <si>
    <t>109</t>
  </si>
  <si>
    <t>lcolincruz27@gmail.com</t>
  </si>
  <si>
    <t>319203187</t>
  </si>
  <si>
    <t>PEREZ MOLINA DAVID EDUARDO</t>
  </si>
  <si>
    <t>davideduardoperezmolina@gmail.com</t>
  </si>
  <si>
    <t>317044636</t>
  </si>
  <si>
    <t>VILLA CALVO GUSTAVO</t>
  </si>
  <si>
    <t>gus_3.a@hotmail.com</t>
  </si>
  <si>
    <t>FERNANDEZ SERRANO YESSICA ISABEL</t>
  </si>
  <si>
    <t>yesf21@gmail.com</t>
  </si>
  <si>
    <t xml:space="preserve">Act1 </t>
  </si>
  <si>
    <t>Act2</t>
  </si>
  <si>
    <t>Act3</t>
  </si>
  <si>
    <t>Act4</t>
  </si>
  <si>
    <t>Act5</t>
  </si>
  <si>
    <t>Act. 1</t>
  </si>
  <si>
    <t>App Sistemas Secuenciales y Máquina de
Estados</t>
  </si>
  <si>
    <t>Act. 2</t>
  </si>
  <si>
    <t>Registro de Datos</t>
  </si>
  <si>
    <t>Máquina de estados</t>
  </si>
  <si>
    <t>Act. 3</t>
  </si>
  <si>
    <t>Act. 4</t>
  </si>
  <si>
    <t>Act. 5</t>
  </si>
  <si>
    <t>Act. 6</t>
  </si>
  <si>
    <t>Act. 7</t>
  </si>
  <si>
    <t>Act. 8</t>
  </si>
  <si>
    <t>Act. 9</t>
  </si>
  <si>
    <t>Elevador Simulado</t>
  </si>
  <si>
    <t>Elevador con botoneras de entrada y 
salida y display de 7 segmentos</t>
  </si>
  <si>
    <t>Brazo Robot manipulado con Joystick</t>
  </si>
  <si>
    <t>Act6</t>
  </si>
  <si>
    <t>Act7</t>
  </si>
  <si>
    <t>Act8</t>
  </si>
  <si>
    <t>Act9</t>
  </si>
  <si>
    <t>Análisis monofásico de tensión y
corriente</t>
  </si>
  <si>
    <t>Movimiento de motor a pasos con
encoder</t>
  </si>
  <si>
    <t>Act10</t>
  </si>
  <si>
    <t>Act11</t>
  </si>
  <si>
    <t>Act. 10</t>
  </si>
  <si>
    <t>Act. 11</t>
  </si>
  <si>
    <t>Concentrador de aplicaciones</t>
  </si>
  <si>
    <t xml:space="preserve">Proyecto de Instrumentación Virtual </t>
  </si>
  <si>
    <t xml:space="preserve">Integración de Evidencia de Actividades </t>
  </si>
  <si>
    <t>Lab</t>
  </si>
  <si>
    <t>• Actividades: 65%</t>
  </si>
  <si>
    <t>• Proyecto final: 20%</t>
  </si>
  <si>
    <t>• Laboratorio: 15%</t>
  </si>
  <si>
    <t>Final</t>
  </si>
  <si>
    <t>Calif.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</si>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</sst>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rgb="FF000000"/>
      <name val="Calibri"/>
    </font>
    <font>
      <b/>
      <sz val="13"/>
      <color rgb="FF000000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EDEDE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3" fillId="0" borderId="0" xfId="1"/>
    <xf numFmtId="0" fontId="3" fillId="3" borderId="0" xfId="1" applyFill="1"/>
    <xf numFmtId="0" fontId="3" fillId="4" borderId="0" xfId="1" applyFill="1"/>
    <xf numFmtId="0" fontId="2" fillId="2" borderId="0" xfId="0" applyFont="1" applyFill="1" applyAlignment="1">
      <alignment horizontal="left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1" fontId="0" fillId="0" borderId="0" xfId="0" applyNumberFormat="1"/>
    <xf numFmtId="1" fontId="4" fillId="0" borderId="0" xfId="0" applyNumberFormat="1" applyFont="1"/>
    <xf numFmtId="164" fontId="4" fillId="0" borderId="0" xfId="0" applyNumberFormat="1" applyFont="1"/>
    <xf numFmtId="0" fontId="4" fillId="0" borderId="0" xfId="0" applyFont="1" applyAlignment="1">
      <alignment horizontal="left" wrapText="1"/>
    </xf>
    <xf numFmtId="0" fontId="0" fillId="4" borderId="0" xfId="0" applyFill="1"/>
    <xf numFmtId="0" fontId="0" fillId="3" borderId="0" xfId="0" applyFill="1"/>
    <xf numFmtId="0" fontId="0" fillId="0" borderId="0" xfId="0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0</xdr:row>
      <xdr:rowOff>95250</xdr:rowOff>
    </xdr:from>
    <xdr:ext cx="838200" cy="1047750"/>
    <xdr:pic>
      <xdr:nvPicPr>
        <xdr:cNvPr id="2" name="F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95250</xdr:rowOff>
    </xdr:from>
    <xdr:ext cx="1543050" cy="1047750"/>
    <xdr:pic>
      <xdr:nvPicPr>
        <xdr:cNvPr id="3" name="USECA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14</xdr:row>
      <xdr:rowOff>19050</xdr:rowOff>
    </xdr:from>
    <xdr:ext cx="838200" cy="1047750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15</xdr:row>
      <xdr:rowOff>19050</xdr:rowOff>
    </xdr:from>
    <xdr:ext cx="838200" cy="1047750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16</xdr:row>
      <xdr:rowOff>19050</xdr:rowOff>
    </xdr:from>
    <xdr:ext cx="838200" cy="1047750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davideduardoperezmolina@gmail.com" TargetMode="External"/><Relationship Id="rId1" Type="http://schemas.openxmlformats.org/officeDocument/2006/relationships/hyperlink" Target="mailto:yesf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opLeftCell="A9" workbookViewId="0">
      <selection activeCell="D23" sqref="D23"/>
    </sheetView>
  </sheetViews>
  <sheetFormatPr baseColWidth="10" defaultColWidth="8.83203125" defaultRowHeight="15" x14ac:dyDescent="0.2"/>
  <cols>
    <col min="1" max="1" width="14" customWidth="1"/>
    <col min="2" max="2" width="11" customWidth="1"/>
    <col min="3" max="5" width="13" customWidth="1"/>
    <col min="6" max="6" width="2" customWidth="1"/>
    <col min="7" max="8" width="7" customWidth="1"/>
    <col min="9" max="10" width="15" customWidth="1"/>
    <col min="11" max="11" width="35" customWidth="1"/>
  </cols>
  <sheetData>
    <row r="1" spans="1:11" ht="17" x14ac:dyDescent="0.2">
      <c r="A1" s="21"/>
      <c r="B1" s="21"/>
      <c r="C1" s="23" t="s">
        <v>0</v>
      </c>
      <c r="D1" s="21"/>
      <c r="E1" s="21"/>
      <c r="F1" s="21"/>
      <c r="G1" s="21"/>
      <c r="H1" s="21"/>
      <c r="I1" s="21"/>
      <c r="J1" s="21"/>
      <c r="K1" s="21"/>
    </row>
    <row r="2" spans="1:11" ht="17" x14ac:dyDescent="0.2">
      <c r="A2" s="21"/>
      <c r="B2" s="21"/>
      <c r="C2" s="23" t="s">
        <v>1</v>
      </c>
      <c r="D2" s="21"/>
      <c r="E2" s="21"/>
      <c r="F2" s="21"/>
      <c r="G2" s="21"/>
      <c r="H2" s="21"/>
      <c r="I2" s="21"/>
      <c r="J2" s="21"/>
      <c r="K2" s="21"/>
    </row>
    <row r="3" spans="1:11" ht="17" x14ac:dyDescent="0.2">
      <c r="A3" s="21"/>
      <c r="B3" s="21"/>
      <c r="C3" s="23" t="s">
        <v>2</v>
      </c>
      <c r="D3" s="21"/>
      <c r="E3" s="21"/>
      <c r="F3" s="21"/>
      <c r="G3" s="21"/>
      <c r="H3" s="21"/>
      <c r="I3" s="21"/>
      <c r="J3" s="21"/>
      <c r="K3" s="21"/>
    </row>
    <row r="4" spans="1:11" ht="17" x14ac:dyDescent="0.2">
      <c r="A4" s="21"/>
      <c r="B4" s="21"/>
      <c r="C4" s="23" t="s">
        <v>3</v>
      </c>
      <c r="D4" s="21"/>
      <c r="E4" s="21"/>
      <c r="F4" s="21"/>
      <c r="G4" s="21"/>
      <c r="H4" s="21"/>
      <c r="I4" s="21"/>
      <c r="J4" s="21"/>
      <c r="K4" s="21"/>
    </row>
    <row r="5" spans="1:11" ht="17" x14ac:dyDescent="0.2">
      <c r="A5" s="21"/>
      <c r="B5" s="21"/>
      <c r="C5" s="23" t="s">
        <v>4</v>
      </c>
      <c r="D5" s="21"/>
      <c r="E5" s="21"/>
      <c r="F5" s="21"/>
      <c r="G5" s="21"/>
      <c r="H5" s="21"/>
      <c r="I5" s="21"/>
      <c r="J5" s="21"/>
      <c r="K5" s="21"/>
    </row>
    <row r="6" spans="1:11" x14ac:dyDescent="0.2">
      <c r="A6" s="21"/>
      <c r="B6" s="21"/>
      <c r="C6" s="24" t="s">
        <v>5</v>
      </c>
      <c r="D6" s="21"/>
      <c r="E6" s="21"/>
      <c r="F6" s="21"/>
      <c r="G6" s="21"/>
      <c r="H6" s="21"/>
      <c r="I6" s="21"/>
      <c r="J6" s="21"/>
      <c r="K6" s="21"/>
    </row>
    <row r="8" spans="1:11" x14ac:dyDescent="0.2">
      <c r="B8" s="2" t="s">
        <v>6</v>
      </c>
      <c r="C8" s="21" t="s">
        <v>7</v>
      </c>
      <c r="D8" s="21"/>
      <c r="E8" s="21"/>
      <c r="F8" s="21"/>
      <c r="G8" s="21"/>
      <c r="H8" s="21"/>
      <c r="I8" s="21"/>
      <c r="J8" s="21"/>
    </row>
    <row r="9" spans="1:11" x14ac:dyDescent="0.2">
      <c r="B9" s="2" t="s">
        <v>8</v>
      </c>
      <c r="C9" s="21" t="s">
        <v>9</v>
      </c>
      <c r="D9" s="21"/>
      <c r="E9" s="21"/>
      <c r="F9" s="21"/>
      <c r="G9" s="21"/>
      <c r="H9" s="21"/>
      <c r="I9" s="21"/>
      <c r="J9" s="21"/>
    </row>
    <row r="11" spans="1:11" x14ac:dyDescent="0.2">
      <c r="B11" s="2" t="s">
        <v>10</v>
      </c>
      <c r="C11" s="21" t="s">
        <v>11</v>
      </c>
      <c r="D11" s="21"/>
      <c r="E11" s="21"/>
      <c r="H11" s="3" t="s">
        <v>12</v>
      </c>
      <c r="I11" s="3" t="s">
        <v>13</v>
      </c>
      <c r="J11" s="3" t="s">
        <v>14</v>
      </c>
      <c r="K11" s="3" t="s">
        <v>15</v>
      </c>
    </row>
    <row r="12" spans="1:11" x14ac:dyDescent="0.2">
      <c r="B12" s="2" t="s">
        <v>16</v>
      </c>
      <c r="C12" t="s">
        <v>9</v>
      </c>
      <c r="D12" s="2" t="s">
        <v>17</v>
      </c>
      <c r="E12" t="s">
        <v>18</v>
      </c>
      <c r="H12" s="1" t="s">
        <v>19</v>
      </c>
      <c r="I12" s="1" t="s">
        <v>20</v>
      </c>
      <c r="J12" s="1" t="s">
        <v>21</v>
      </c>
      <c r="K12" s="1" t="s">
        <v>22</v>
      </c>
    </row>
    <row r="14" spans="1:11" x14ac:dyDescent="0.2">
      <c r="A14" s="3" t="s">
        <v>23</v>
      </c>
      <c r="B14" s="3" t="s">
        <v>24</v>
      </c>
      <c r="C14" s="3" t="s">
        <v>25</v>
      </c>
      <c r="D14" s="22" t="s">
        <v>26</v>
      </c>
      <c r="E14" s="21"/>
      <c r="F14" s="21"/>
      <c r="G14" s="21"/>
      <c r="H14" s="21"/>
      <c r="I14" s="21"/>
      <c r="J14" s="3" t="s">
        <v>27</v>
      </c>
      <c r="K14" s="3" t="s">
        <v>28</v>
      </c>
    </row>
    <row r="15" spans="1:11" ht="100" customHeight="1" x14ac:dyDescent="0.2">
      <c r="B15" s="4">
        <v>1</v>
      </c>
      <c r="C15" s="4" t="s">
        <v>29</v>
      </c>
      <c r="D15" s="20" t="s">
        <v>30</v>
      </c>
      <c r="E15" s="20"/>
      <c r="F15" s="20"/>
      <c r="G15" s="20"/>
      <c r="H15" s="20"/>
      <c r="I15" s="20"/>
      <c r="J15" s="4" t="s">
        <v>31</v>
      </c>
      <c r="K15" s="5" t="s">
        <v>32</v>
      </c>
    </row>
    <row r="16" spans="1:11" ht="100" customHeight="1" x14ac:dyDescent="0.2">
      <c r="B16" s="6">
        <v>2</v>
      </c>
      <c r="C16" s="6" t="s">
        <v>33</v>
      </c>
      <c r="D16" s="19" t="s">
        <v>34</v>
      </c>
      <c r="E16" s="19"/>
      <c r="F16" s="19"/>
      <c r="G16" s="19"/>
      <c r="H16" s="19"/>
      <c r="I16" s="19"/>
      <c r="J16" s="6" t="s">
        <v>31</v>
      </c>
      <c r="K16" s="7" t="s">
        <v>35</v>
      </c>
    </row>
    <row r="17" spans="2:11" ht="100" customHeight="1" x14ac:dyDescent="0.2">
      <c r="B17" s="4">
        <v>3</v>
      </c>
      <c r="C17" s="4" t="s">
        <v>36</v>
      </c>
      <c r="D17" s="20" t="s">
        <v>37</v>
      </c>
      <c r="E17" s="20"/>
      <c r="F17" s="20"/>
      <c r="G17" s="20"/>
      <c r="H17" s="20"/>
      <c r="I17" s="20"/>
      <c r="J17" s="4" t="s">
        <v>31</v>
      </c>
      <c r="K17" s="5" t="s">
        <v>38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A1:B6"/>
    <mergeCell ref="K1:K6"/>
    <mergeCell ref="C1:J1"/>
    <mergeCell ref="C2:J2"/>
    <mergeCell ref="C3:J3"/>
    <mergeCell ref="C4:J4"/>
    <mergeCell ref="C5:J5"/>
    <mergeCell ref="C6:J6"/>
    <mergeCell ref="D16:I16"/>
    <mergeCell ref="D17:I17"/>
    <mergeCell ref="C8:J8"/>
    <mergeCell ref="C9:J9"/>
    <mergeCell ref="C11:E11"/>
    <mergeCell ref="D14:I14"/>
    <mergeCell ref="D15:I15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23B1-C314-0243-B36A-F00CC50643E9}">
  <dimension ref="A1:S24"/>
  <sheetViews>
    <sheetView tabSelected="1" zoomScale="150" zoomScaleNormal="150" workbookViewId="0">
      <pane ySplit="2" topLeftCell="A3" activePane="bottomLeft" state="frozen"/>
      <selection pane="bottomLeft" activeCell="R3" sqref="R3:R5"/>
    </sheetView>
  </sheetViews>
  <sheetFormatPr baseColWidth="10" defaultRowHeight="15" x14ac:dyDescent="0.2"/>
  <sheetData>
    <row r="1" spans="1:19" x14ac:dyDescent="0.2">
      <c r="A1" s="3" t="s">
        <v>24</v>
      </c>
      <c r="B1" s="3" t="s">
        <v>25</v>
      </c>
      <c r="C1" s="11" t="s">
        <v>26</v>
      </c>
      <c r="D1" s="3" t="s">
        <v>27</v>
      </c>
      <c r="E1" s="3" t="s">
        <v>28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61</v>
      </c>
      <c r="L1" s="3" t="s">
        <v>62</v>
      </c>
      <c r="M1" s="3" t="s">
        <v>63</v>
      </c>
      <c r="N1" s="3" t="s">
        <v>67</v>
      </c>
      <c r="O1" s="3" t="s">
        <v>68</v>
      </c>
      <c r="P1" s="3" t="s">
        <v>64</v>
      </c>
      <c r="R1" s="3" t="s">
        <v>79</v>
      </c>
      <c r="S1" s="3" t="s">
        <v>78</v>
      </c>
    </row>
    <row r="2" spans="1:19" x14ac:dyDescent="0.2">
      <c r="A2" s="3"/>
      <c r="B2" s="3"/>
      <c r="C2" s="11"/>
      <c r="D2" s="3"/>
      <c r="E2" s="3"/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61</v>
      </c>
      <c r="L2" s="3" t="s">
        <v>62</v>
      </c>
      <c r="M2" s="3" t="s">
        <v>63</v>
      </c>
      <c r="N2" s="3" t="s">
        <v>67</v>
      </c>
      <c r="O2" s="3" t="s">
        <v>68</v>
      </c>
      <c r="P2" s="3" t="s">
        <v>64</v>
      </c>
      <c r="Q2" s="3" t="s">
        <v>74</v>
      </c>
    </row>
    <row r="3" spans="1:19" x14ac:dyDescent="0.2">
      <c r="A3" s="4">
        <v>1</v>
      </c>
      <c r="B3" s="4" t="s">
        <v>29</v>
      </c>
      <c r="C3" s="5" t="s">
        <v>30</v>
      </c>
      <c r="D3" s="4" t="s">
        <v>31</v>
      </c>
      <c r="E3" s="9" t="s">
        <v>80</v>
      </c>
      <c r="F3">
        <v>9</v>
      </c>
      <c r="H3">
        <f>9.5-3.5</f>
        <v>6</v>
      </c>
      <c r="I3">
        <v>8</v>
      </c>
      <c r="J3">
        <f>9-4</f>
        <v>5</v>
      </c>
      <c r="K3">
        <v>9</v>
      </c>
      <c r="L3">
        <f>8.5-1</f>
        <v>7.5</v>
      </c>
      <c r="M3">
        <f>8-1</f>
        <v>7</v>
      </c>
      <c r="P3">
        <v>5</v>
      </c>
      <c r="Q3">
        <v>9</v>
      </c>
      <c r="R3" s="17">
        <f>SUM(F3:O3)*0.65/10+P3*0.2+Q3*0.15</f>
        <v>5.6974999999999998</v>
      </c>
      <c r="S3" s="16">
        <f>SUM(G3:P3)*0.65/10+Q3*0.2+R3*0.15</f>
        <v>5.7421249999999997</v>
      </c>
    </row>
    <row r="4" spans="1:19" x14ac:dyDescent="0.2">
      <c r="A4" s="6">
        <v>2</v>
      </c>
      <c r="B4" s="6" t="s">
        <v>33</v>
      </c>
      <c r="C4" s="7" t="s">
        <v>34</v>
      </c>
      <c r="D4" s="6" t="s">
        <v>31</v>
      </c>
      <c r="E4" s="10" t="s">
        <v>35</v>
      </c>
      <c r="F4">
        <v>9</v>
      </c>
      <c r="G4">
        <v>10</v>
      </c>
      <c r="H4">
        <v>10</v>
      </c>
      <c r="I4">
        <v>10</v>
      </c>
      <c r="J4">
        <v>10</v>
      </c>
      <c r="K4">
        <f>9.5-0.5</f>
        <v>9</v>
      </c>
      <c r="L4">
        <f>10-1</f>
        <v>9</v>
      </c>
      <c r="M4">
        <v>9</v>
      </c>
      <c r="N4">
        <v>9.5</v>
      </c>
      <c r="O4">
        <v>10</v>
      </c>
      <c r="P4">
        <v>10</v>
      </c>
      <c r="Q4">
        <v>9</v>
      </c>
      <c r="R4" s="17">
        <f>SUM(F4:O4)*0.65/10+P4*0.2+Q4*0.15</f>
        <v>9.5574999999999992</v>
      </c>
      <c r="S4" s="15">
        <f>+R4</f>
        <v>9.5574999999999992</v>
      </c>
    </row>
    <row r="5" spans="1:19" x14ac:dyDescent="0.2">
      <c r="B5">
        <v>307091602</v>
      </c>
      <c r="C5" s="12" t="s">
        <v>39</v>
      </c>
      <c r="D5">
        <v>109</v>
      </c>
      <c r="E5" s="8" t="s">
        <v>40</v>
      </c>
      <c r="F5">
        <v>9</v>
      </c>
      <c r="G5">
        <v>10</v>
      </c>
      <c r="H5">
        <f>9.5-4.5</f>
        <v>5</v>
      </c>
      <c r="I5">
        <f>9+1</f>
        <v>10</v>
      </c>
      <c r="J5">
        <v>10</v>
      </c>
      <c r="K5">
        <v>10</v>
      </c>
      <c r="L5">
        <v>10</v>
      </c>
      <c r="M5">
        <v>8</v>
      </c>
      <c r="N5">
        <v>10</v>
      </c>
      <c r="O5">
        <v>10</v>
      </c>
      <c r="P5">
        <v>7</v>
      </c>
      <c r="Q5">
        <v>8</v>
      </c>
      <c r="R5" s="17">
        <f>SUM(F5:O5)*0.65/10+P5*0.2+Q5*0.15</f>
        <v>8.58</v>
      </c>
      <c r="S5" s="16">
        <f>SUM(G5:P5)*0.65/10+Q5*0.2+R5*0.15</f>
        <v>8.7369999999999983</v>
      </c>
    </row>
    <row r="9" spans="1:19" x14ac:dyDescent="0.2">
      <c r="A9" s="14" t="s">
        <v>46</v>
      </c>
      <c r="B9" s="12" t="s">
        <v>49</v>
      </c>
    </row>
    <row r="10" spans="1:19" x14ac:dyDescent="0.2">
      <c r="A10" s="14" t="s">
        <v>48</v>
      </c>
      <c r="B10" s="18" t="s">
        <v>47</v>
      </c>
      <c r="C10" s="18"/>
      <c r="D10" s="18"/>
      <c r="E10" s="18"/>
      <c r="F10" s="18"/>
    </row>
    <row r="11" spans="1:19" x14ac:dyDescent="0.2">
      <c r="A11" s="14" t="s">
        <v>51</v>
      </c>
      <c r="B11" s="12" t="s">
        <v>50</v>
      </c>
    </row>
    <row r="12" spans="1:19" x14ac:dyDescent="0.2">
      <c r="A12" s="14" t="s">
        <v>52</v>
      </c>
      <c r="B12" s="12" t="s">
        <v>58</v>
      </c>
    </row>
    <row r="13" spans="1:19" ht="96" x14ac:dyDescent="0.2">
      <c r="A13" s="14" t="s">
        <v>53</v>
      </c>
      <c r="B13" s="13" t="s">
        <v>59</v>
      </c>
    </row>
    <row r="14" spans="1:19" x14ac:dyDescent="0.2">
      <c r="A14" s="14" t="s">
        <v>54</v>
      </c>
      <c r="B14" s="12" t="s">
        <v>60</v>
      </c>
    </row>
    <row r="15" spans="1:19" x14ac:dyDescent="0.2">
      <c r="A15" s="14" t="s">
        <v>55</v>
      </c>
      <c r="B15" s="12" t="s">
        <v>65</v>
      </c>
    </row>
    <row r="16" spans="1:19" x14ac:dyDescent="0.2">
      <c r="A16" s="14" t="s">
        <v>56</v>
      </c>
      <c r="B16" s="12" t="s">
        <v>66</v>
      </c>
    </row>
    <row r="17" spans="1:2" x14ac:dyDescent="0.2">
      <c r="A17" s="14" t="s">
        <v>57</v>
      </c>
      <c r="B17" s="12" t="s">
        <v>72</v>
      </c>
    </row>
    <row r="18" spans="1:2" x14ac:dyDescent="0.2">
      <c r="A18" s="14" t="s">
        <v>69</v>
      </c>
      <c r="B18" s="12" t="s">
        <v>71</v>
      </c>
    </row>
    <row r="19" spans="1:2" x14ac:dyDescent="0.2">
      <c r="A19" s="14" t="s">
        <v>70</v>
      </c>
      <c r="B19" t="s">
        <v>73</v>
      </c>
    </row>
    <row r="21" spans="1:2" x14ac:dyDescent="0.2">
      <c r="A21" s="14"/>
    </row>
    <row r="22" spans="1:2" x14ac:dyDescent="0.2">
      <c r="A22" s="14" t="s">
        <v>75</v>
      </c>
    </row>
    <row r="23" spans="1:2" x14ac:dyDescent="0.2">
      <c r="A23" s="12" t="s">
        <v>76</v>
      </c>
    </row>
    <row r="24" spans="1:2" x14ac:dyDescent="0.2">
      <c r="A24" t="s">
        <v>77</v>
      </c>
    </row>
  </sheetData>
  <mergeCells count="1">
    <mergeCell ref="B10:F10"/>
  </mergeCells>
  <phoneticPr fontId="5" type="noConversion"/>
  <hyperlinks>
    <hyperlink ref="E5" r:id="rId1" xr:uid="{B374D4D8-2E3B-445B-97BC-F11E6CF3F1F5}"/>
    <hyperlink ref="E4" r:id="rId2" xr:uid="{33D45C74-F14A-2E4A-B117-7BD90CCA5A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693-1</vt:lpstr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de asistencia</dc:title>
  <dc:subject>Lista de asistencia</dc:subject>
  <dc:creator>USECAD</dc:creator>
  <cp:keywords/>
  <dc:description>Lista de Asistencia</dc:description>
  <cp:lastModifiedBy>Gloria Mata</cp:lastModifiedBy>
  <dcterms:created xsi:type="dcterms:W3CDTF">2026-02-03T17:29:11Z</dcterms:created>
  <dcterms:modified xsi:type="dcterms:W3CDTF">2026-06-17T19:04:24Z</dcterms:modified>
  <cp:category/>
</cp:coreProperties>
</file>